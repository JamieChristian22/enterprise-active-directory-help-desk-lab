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ec4a112d4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7049373e234cdf"/>
    <x:sheet xmlns:r="http://schemas.openxmlformats.org/officeDocument/2006/relationships" name="Tickets" sheetId="2" r:id="R3010de15680e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229c920c04e15" /><Relationship Type="http://schemas.openxmlformats.org/officeDocument/2006/relationships/theme" Target="/xl/theme/theme1.xml" Id="R4530cd50907a4dde" /><Relationship Type="http://schemas.openxmlformats.org/officeDocument/2006/relationships/sharedStrings" Target="/xl/sharedStrings.xml" Id="Rfbc0ddfcf6cf495a" /><Relationship Type="http://schemas.openxmlformats.org/officeDocument/2006/relationships/worksheet" Target="/xl/worksheets/sheet1.xml" Id="R827049373e234cdf" /><Relationship Type="http://schemas.openxmlformats.org/officeDocument/2006/relationships/worksheet" Target="/xl/worksheets/sheet2.xml" Id="R3010de15680e42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3631d3a1f74d44" /><Relationship Type="http://schemas.openxmlformats.org/officeDocument/2006/relationships/chart" Target="/xl/drawings/charts/chart2.xml" Id="R25942f46be7a4da2" /><Relationship Type="http://schemas.openxmlformats.org/officeDocument/2006/relationships/chart" Target="/xl/drawings/charts/chart3.xml" Id="Rb686e03d3fff4c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Ticket Count</c:v>
          </c:tx>
          <c:cat>
            <c:strRef>
              <c:f>'Dashboard'!$A$9:$A$21</c:f>
              <c:strCache>
                <c:ptCount val="0"/>
              </c:strCache>
            </c:strRef>
          </c:cat>
          <c:val>
            <c:numRef>
              <c:f>'Dashboard'!$B$9:$B$21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 Count</c:v>
          </c:tx>
          <c:cat>
            <c:strRef>
              <c:f>'Dashboard'!$D$9:$D$12</c:f>
              <c:strCache>
                <c:ptCount val="0"/>
              </c:strCache>
            </c:strRef>
          </c:cat>
          <c:val>
            <c:numRef>
              <c:f>'Dashboard'!$E$9:$E$12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Resolved Tickets by Technician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Resolved Tickets</c:v>
          </c:tx>
          <c:cat>
            <c:strRef>
              <c:f>'Dashboard'!$G$9:$G$11</c:f>
              <c:strCache>
                <c:ptCount val="0"/>
              </c:strCache>
            </c:strRef>
          </c:cat>
          <c:val>
            <c:numRef>
              <c:f>'Dashboard'!$H$9:$H$11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3631d3a1f74d44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942f46be7a4da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86e03d3fff4c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cketsTable" displayName="TicketsTable" ref="A1:N51" headerRowCount="1">
  <x:tableColumns count="14">
    <x:tableColumn id="1" name="ticket_id"/>
    <x:tableColumn id="2" name="type"/>
    <x:tableColumn id="3" name="title"/>
    <x:tableColumn id="4" name="category"/>
    <x:tableColumn id="5" name="priority"/>
    <x:tableColumn id="6" name="requester"/>
    <x:tableColumn id="7" name="assigned_to"/>
    <x:tableColumn id="8" name="opened"/>
    <x:tableColumn id="9" name="resolved"/>
    <x:tableColumn id="10" name="resolution_minutes"/>
    <x:tableColumn id="11" name="sla_target_minutes"/>
    <x:tableColumn id="12" name="sla_result"/>
    <x:tableColumn id="13" name="status"/>
    <x:tableColumn id="14" name="configuration_it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a3e727861a48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ea91130eb8471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" t="str">
        <x:v>Northstar Help Desk Metrics Dashboard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4">
      <x:c r="A4" s="22" t="str">
        <x:v>Total Tickets</x:v>
      </x:c>
      <x:c r="B4" s="22" t="str">
        <x:v>Resolved</x:v>
      </x:c>
      <x:c r="C4" s="22" t="str">
        <x:v>SLA Met</x:v>
      </x:c>
      <x:c r="D4" s="22" t="str">
        <x:v>SLA Attainment</x:v>
      </x:c>
      <x:c r="E4" s="22" t="str">
        <x:v>Avg Resolution (min)</x:v>
      </x:c>
      <x:c r="F4" s="22" t="str">
        <x:v>P1 Tickets</x:v>
      </x:c>
      <x:c r="G4" s="22" t="str">
        <x:v>P2 Tickets</x:v>
      </x:c>
      <x:c r="H4" s="22" t="str">
        <x:v>P3/P4 Tickets</x:v>
      </x:c>
    </x:row>
    <x:row r="5">
      <x:c r="A5" s="30" t="n">
        <x:f>COUNTA(Tickets!A2:A51)</x:f>
        <x:v>50</x:v>
      </x:c>
      <x:c r="B5" s="30" t="n">
        <x:f>COUNTIF(Tickets!M2:M51,"Resolved")</x:f>
        <x:v>50</x:v>
      </x:c>
      <x:c r="C5" s="30" t="n">
        <x:f>COUNTIF(Tickets!L2:L51,"Met")</x:f>
        <x:v>50</x:v>
      </x:c>
      <x:c r="D5" s="34" t="n">
        <x:f>C5/B5</x:f>
        <x:v>1</x:v>
      </x:c>
      <x:c r="E5" s="36" t="n">
        <x:f>AVERAGE(Tickets!J2:J51)</x:f>
        <x:v>251.64</x:v>
      </x:c>
      <x:c r="F5" s="30" t="n">
        <x:f>COUNTIF(Tickets!E2:E51,"P1")</x:f>
        <x:v>6</x:v>
      </x:c>
      <x:c r="G5" s="30" t="n">
        <x:f>COUNTIF(Tickets!E2:E51,"P2")</x:f>
        <x:v>10</x:v>
      </x:c>
      <x:c r="H5" s="30" t="n">
        <x:f>COUNTIF(Tickets!E2:E51,"P3")+COUNTIF(Tickets!E2:E51,"P4")</x:f>
        <x:v>34</x:v>
      </x:c>
    </x:row>
    <x:row r="8">
      <x:c r="A8" s="3" t="str">
        <x:v>Category</x:v>
      </x:c>
      <x:c r="B8" s="3" t="str">
        <x:v>Ticket Count</x:v>
      </x:c>
      <x:c r="D8" s="3" t="str">
        <x:v>Priority</x:v>
      </x:c>
      <x:c r="E8" s="3" t="str">
        <x:v>Ticket Count</x:v>
      </x:c>
      <x:c r="G8" s="3" t="str">
        <x:v>Agent</x:v>
      </x:c>
      <x:c r="H8" s="3" t="str">
        <x:v>Resolved Tickets</x:v>
      </x:c>
    </x:row>
    <x:row r="9">
      <x:c r="A9" t="str">
        <x:v>Account Access</x:v>
      </x:c>
      <x:c r="B9" t="n">
        <x:f>COUNTIF(Tickets!D$2:D$51,A9)</x:f>
        <x:v>6</x:v>
      </x:c>
      <x:c r="D9" t="str">
        <x:v>P1</x:v>
      </x:c>
      <x:c r="E9" t="n">
        <x:f>COUNTIF(Tickets!E$2:E$51,D9)</x:f>
        <x:v>6</x:v>
      </x:c>
      <x:c r="G9" t="str">
        <x:v>Alex Thompson</x:v>
      </x:c>
      <x:c r="H9" t="n">
        <x:f>COUNTIFS(Tickets!G$2:G$51,G9,Tickets!M$2:M$51,"Resolved")</x:f>
        <x:v>17</x:v>
      </x:c>
    </x:row>
    <x:row r="10">
      <x:c r="A10" t="str">
        <x:v>DHCP</x:v>
      </x:c>
      <x:c r="B10" t="n">
        <x:f>COUNTIF(Tickets!D$2:D$51,A10)</x:f>
        <x:v>2</x:v>
      </x:c>
      <x:c r="D10" t="str">
        <x:v>P2</x:v>
      </x:c>
      <x:c r="E10" t="n">
        <x:f>COUNTIF(Tickets!E$2:E$51,D10)</x:f>
        <x:v>10</x:v>
      </x:c>
      <x:c r="G10" t="str">
        <x:v>Jamie Christian II</x:v>
      </x:c>
      <x:c r="H10" t="n">
        <x:f>COUNTIFS(Tickets!G$2:G$51,G10,Tickets!M$2:M$51,"Resolved")</x:f>
        <x:v>16</x:v>
      </x:c>
    </x:row>
    <x:row r="11">
      <x:c r="A11" t="str">
        <x:v>DNS</x:v>
      </x:c>
      <x:c r="B11" t="n">
        <x:f>COUNTIF(Tickets!D$2:D$51,A11)</x:f>
        <x:v>2</x:v>
      </x:c>
      <x:c r="D11" t="str">
        <x:v>P3</x:v>
      </x:c>
      <x:c r="E11" t="n">
        <x:f>COUNTIF(Tickets!E$2:E$51,D11)</x:f>
        <x:v>32</x:v>
      </x:c>
      <x:c r="G11" t="str">
        <x:v>Morgan Reyes</x:v>
      </x:c>
      <x:c r="H11" t="n">
        <x:f>COUNTIFS(Tickets!G$2:G$51,G11,Tickets!M$2:M$51,"Resolved")</x:f>
        <x:v>17</x:v>
      </x:c>
    </x:row>
    <x:row r="12">
      <x:c r="A12" t="str">
        <x:v>Endpoint</x:v>
      </x:c>
      <x:c r="B12" t="n">
        <x:f>COUNTIF(Tickets!D$2:D$51,A12)</x:f>
        <x:v>6</x:v>
      </x:c>
      <x:c r="D12" t="str">
        <x:v>P4</x:v>
      </x:c>
      <x:c r="E12" t="n">
        <x:f>COUNTIF(Tickets!E$2:E$51,D12)</x:f>
        <x:v>2</x:v>
      </x:c>
    </x:row>
    <x:row r="13">
      <x:c r="A13" t="str">
        <x:v>File Services</x:v>
      </x:c>
      <x:c r="B13" t="n">
        <x:f>COUNTIF(Tickets!D$2:D$51,A13)</x:f>
        <x:v>6</x:v>
      </x:c>
    </x:row>
    <x:row r="14">
      <x:c r="A14" t="str">
        <x:v>Group Policy</x:v>
      </x:c>
      <x:c r="B14" t="n">
        <x:f>COUNTIF(Tickets!D$2:D$51,A14)</x:f>
        <x:v>2</x:v>
      </x:c>
    </x:row>
    <x:row r="15">
      <x:c r="A15" t="str">
        <x:v>Hardware</x:v>
      </x:c>
      <x:c r="B15" t="n">
        <x:f>COUNTIF(Tickets!D$2:D$51,A15)</x:f>
        <x:v>2</x:v>
      </x:c>
    </x:row>
    <x:row r="16">
      <x:c r="A16" t="str">
        <x:v>Network</x:v>
      </x:c>
      <x:c r="B16" t="n">
        <x:f>COUNTIF(Tickets!D$2:D$51,A16)</x:f>
        <x:v>6</x:v>
      </x:c>
    </x:row>
    <x:row r="17">
      <x:c r="A17" t="str">
        <x:v>Offboarding</x:v>
      </x:c>
      <x:c r="B17" t="n">
        <x:f>COUNTIF(Tickets!D$2:D$51,A17)</x:f>
        <x:v>2</x:v>
      </x:c>
    </x:row>
    <x:row r="18">
      <x:c r="A18" t="str">
        <x:v>Onboarding</x:v>
      </x:c>
      <x:c r="B18" t="n">
        <x:f>COUNTIF(Tickets!D$2:D$51,A18)</x:f>
        <x:v>2</x:v>
      </x:c>
    </x:row>
    <x:row r="19">
      <x:c r="A19" t="str">
        <x:v>Printing</x:v>
      </x:c>
      <x:c r="B19" t="n">
        <x:f>COUNTIF(Tickets!D$2:D$51,A19)</x:f>
        <x:v>6</x:v>
      </x:c>
    </x:row>
    <x:row r="20">
      <x:c r="A20" t="str">
        <x:v>Security</x:v>
      </x:c>
      <x:c r="B20" t="n">
        <x:f>COUNTIF(Tickets!D$2:D$51,A20)</x:f>
        <x:v>4</x:v>
      </x:c>
    </x:row>
    <x:row r="21">
      <x:c r="A21" t="str">
        <x:v>Software</x:v>
      </x:c>
      <x:c r="B21" t="n">
        <x:f>COUNTIF(Tickets!D$2:D$51,A21)</x:f>
        <x:v>4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a4a3e727861a48e6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4" hidden="0" customWidth="1"/>
    <x:col min="4" max="4" width="18" hidden="0" customWidth="1"/>
    <x:col min="5" max="5" width="1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20" hidden="0" customWidth="1"/>
  </x:cols>
  <x:sheetData>
    <x:row r="1">
      <x:c r="A1" s="5" t="str">
        <x:v>ticket_id</x:v>
      </x:c>
      <x:c r="B1" s="5" t="str">
        <x:v>type</x:v>
      </x:c>
      <x:c r="C1" s="5" t="str">
        <x:v>title</x:v>
      </x:c>
      <x:c r="D1" s="5" t="str">
        <x:v>category</x:v>
      </x:c>
      <x:c r="E1" s="5" t="str">
        <x:v>priority</x:v>
      </x:c>
      <x:c r="F1" s="5" t="str">
        <x:v>requester</x:v>
      </x:c>
      <x:c r="G1" s="5" t="str">
        <x:v>assigned_to</x:v>
      </x:c>
      <x:c r="H1" s="5" t="str">
        <x:v>opened</x:v>
      </x:c>
      <x:c r="I1" s="5" t="str">
        <x:v>resolved</x:v>
      </x:c>
      <x:c r="J1" s="5" t="str">
        <x:v>resolution_minutes</x:v>
      </x:c>
      <x:c r="K1" s="5" t="str">
        <x:v>sla_target_minutes</x:v>
      </x:c>
      <x:c r="L1" s="5" t="str">
        <x:v>sla_result</x:v>
      </x:c>
      <x:c r="M1" s="5" t="str">
        <x:v>status</x:v>
      </x:c>
      <x:c r="N1" s="5" t="str">
        <x:v>configuration_item</x:v>
      </x:c>
    </x:row>
    <x:row r="2">
      <x:c r="A2" s="10" t="str">
        <x:v>INC-2026-001</x:v>
      </x:c>
      <x:c r="B2" s="10" t="str">
        <x:v>INC</x:v>
      </x:c>
      <x:c r="C2" s="10" t="str">
        <x:v>Password reset after lockout</x:v>
      </x:c>
      <x:c r="D2" s="10" t="str">
        <x:v>Account Access</x:v>
      </x:c>
      <x:c r="E2" s="10" t="str">
        <x:v>P2</x:v>
      </x:c>
      <x:c r="F2" s="10" t="str">
        <x:v>Alicia Morgan</x:v>
      </x:c>
      <x:c r="G2" s="10" t="str">
        <x:v>Morgan Reyes</x:v>
      </x:c>
      <x:c r="H2" s="10" t="str">
        <x:v>2026-01-05 10:22</x:v>
      </x:c>
      <x:c r="I2" s="10" t="str">
        <x:v>2026-01-05 12:26</x:v>
      </x:c>
      <x:c r="J2" s="10" t="str">
        <x:v>124</x:v>
      </x:c>
      <x:c r="K2" s="10" t="str">
        <x:v>240</x:v>
      </x:c>
      <x:c r="L2" s="10" t="str">
        <x:v>Met</x:v>
      </x:c>
      <x:c r="M2" s="10" t="str">
        <x:v>Resolved</x:v>
      </x:c>
      <x:c r="N2" s="10" t="str">
        <x:v>NS-WS-101</x:v>
      </x:c>
    </x:row>
    <x:row r="3">
      <x:c r="A3" s="10" t="str">
        <x:v>INC-2026-002</x:v>
      </x:c>
      <x:c r="B3" s="10" t="str">
        <x:v>INC</x:v>
      </x:c>
      <x:c r="C3" s="10" t="str">
        <x:v>User cannot sign in after password change</x:v>
      </x:c>
      <x:c r="D3" s="10" t="str">
        <x:v>Account Access</x:v>
      </x:c>
      <x:c r="E3" s="10" t="str">
        <x:v>P3</x:v>
      </x:c>
      <x:c r="F3" s="10" t="str">
        <x:v>Brandon Lee</x:v>
      </x:c>
      <x:c r="G3" s="10" t="str">
        <x:v>Alex Thompson</x:v>
      </x:c>
      <x:c r="H3" s="10" t="str">
        <x:v>2026-01-05 12:29</x:v>
      </x:c>
      <x:c r="I3" s="10" t="str">
        <x:v>2026-01-05 18:00</x:v>
      </x:c>
      <x:c r="J3" s="10" t="str">
        <x:v>331</x:v>
      </x:c>
      <x:c r="K3" s="10" t="str">
        <x:v>480</x:v>
      </x:c>
      <x:c r="L3" s="10" t="str">
        <x:v>Met</x:v>
      </x:c>
      <x:c r="M3" s="10" t="str">
        <x:v>Resolved</x:v>
      </x:c>
      <x:c r="N3" s="10" t="str">
        <x:v>NS-WS-102</x:v>
      </x:c>
    </x:row>
    <x:row r="4">
      <x:c r="A4" s="10" t="str">
        <x:v>INC-2026-003</x:v>
      </x:c>
      <x:c r="B4" s="10" t="str">
        <x:v>INC</x:v>
      </x:c>
      <x:c r="C4" s="10" t="str">
        <x:v>No internet connectivity</x:v>
      </x:c>
      <x:c r="D4" s="10" t="str">
        <x:v>Network</x:v>
      </x:c>
      <x:c r="E4" s="10" t="str">
        <x:v>P3</x:v>
      </x:c>
      <x:c r="F4" s="10" t="str">
        <x:v>Carla Ruiz</x:v>
      </x:c>
      <x:c r="G4" s="10" t="str">
        <x:v>Jamie Christian II</x:v>
      </x:c>
      <x:c r="H4" s="10" t="str">
        <x:v>2026-01-05 14:36</x:v>
      </x:c>
      <x:c r="I4" s="10" t="str">
        <x:v>2026-01-05 17:28</x:v>
      </x:c>
      <x:c r="J4" s="10" t="str">
        <x:v>172</x:v>
      </x:c>
      <x:c r="K4" s="10" t="str">
        <x:v>480</x:v>
      </x:c>
      <x:c r="L4" s="10" t="str">
        <x:v>Met</x:v>
      </x:c>
      <x:c r="M4" s="10" t="str">
        <x:v>Resolved</x:v>
      </x:c>
      <x:c r="N4" s="10" t="str">
        <x:v>NS-WS-103</x:v>
      </x:c>
    </x:row>
    <x:row r="5">
      <x:c r="A5" s="10" t="str">
        <x:v>INC-2026-004</x:v>
      </x:c>
      <x:c r="B5" s="10" t="str">
        <x:v>INC</x:v>
      </x:c>
      <x:c r="C5" s="10" t="str">
        <x:v>VPN connects but internal resources unavailable</x:v>
      </x:c>
      <x:c r="D5" s="10" t="str">
        <x:v>Network</x:v>
      </x:c>
      <x:c r="E5" s="10" t="str">
        <x:v>P3</x:v>
      </x:c>
      <x:c r="F5" s="10" t="str">
        <x:v>Daniel Brooks</x:v>
      </x:c>
      <x:c r="G5" s="10" t="str">
        <x:v>Morgan Reyes</x:v>
      </x:c>
      <x:c r="H5" s="10" t="str">
        <x:v>2026-01-06 08:43</x:v>
      </x:c>
      <x:c r="I5" s="10" t="str">
        <x:v>2026-01-06 12:57</x:v>
      </x:c>
      <x:c r="J5" s="10" t="str">
        <x:v>254</x:v>
      </x:c>
      <x:c r="K5" s="10" t="str">
        <x:v>480</x:v>
      </x:c>
      <x:c r="L5" s="10" t="str">
        <x:v>Met</x:v>
      </x:c>
      <x:c r="M5" s="10" t="str">
        <x:v>Resolved</x:v>
      </x:c>
      <x:c r="N5" s="10" t="str">
        <x:v>NS-WS-104</x:v>
      </x:c>
    </x:row>
    <x:row r="6">
      <x:c r="A6" s="10" t="str">
        <x:v>INC-2026-005</x:v>
      </x:c>
      <x:c r="B6" s="10" t="str">
        <x:v>INC</x:v>
      </x:c>
      <x:c r="C6" s="10" t="str">
        <x:v>Mapped drive missing</x:v>
      </x:c>
      <x:c r="D6" s="10" t="str">
        <x:v>File Services</x:v>
      </x:c>
      <x:c r="E6" s="10" t="str">
        <x:v>P3</x:v>
      </x:c>
      <x:c r="F6" s="10" t="str">
        <x:v>Evelyn Hart</x:v>
      </x:c>
      <x:c r="G6" s="10" t="str">
        <x:v>Alex Thompson</x:v>
      </x:c>
      <x:c r="H6" s="10" t="str">
        <x:v>2026-01-06 10:50</x:v>
      </x:c>
      <x:c r="I6" s="10" t="str">
        <x:v>2026-01-06 16:26</x:v>
      </x:c>
      <x:c r="J6" s="10" t="str">
        <x:v>336</x:v>
      </x:c>
      <x:c r="K6" s="10" t="str">
        <x:v>480</x:v>
      </x:c>
      <x:c r="L6" s="10" t="str">
        <x:v>Met</x:v>
      </x:c>
      <x:c r="M6" s="10" t="str">
        <x:v>Resolved</x:v>
      </x:c>
      <x:c r="N6" s="10" t="str">
        <x:v>NS-WS-105</x:v>
      </x:c>
    </x:row>
    <x:row r="7">
      <x:c r="A7" s="10" t="str">
        <x:v>INC-2026-006</x:v>
      </x:c>
      <x:c r="B7" s="10" t="str">
        <x:v>INC</x:v>
      </x:c>
      <x:c r="C7" s="10" t="str">
        <x:v>Access denied to department share</x:v>
      </x:c>
      <x:c r="D7" s="10" t="str">
        <x:v>File Services</x:v>
      </x:c>
      <x:c r="E7" s="10" t="str">
        <x:v>P3</x:v>
      </x:c>
      <x:c r="F7" s="10" t="str">
        <x:v>Frank Owens</x:v>
      </x:c>
      <x:c r="G7" s="10" t="str">
        <x:v>Jamie Christian II</x:v>
      </x:c>
      <x:c r="H7" s="10" t="str">
        <x:v>2026-01-06 12:57</x:v>
      </x:c>
      <x:c r="I7" s="10" t="str">
        <x:v>2026-01-06 15:54</x:v>
      </x:c>
      <x:c r="J7" s="10" t="str">
        <x:v>177</x:v>
      </x:c>
      <x:c r="K7" s="10" t="str">
        <x:v>480</x:v>
      </x:c>
      <x:c r="L7" s="10" t="str">
        <x:v>Met</x:v>
      </x:c>
      <x:c r="M7" s="10" t="str">
        <x:v>Resolved</x:v>
      </x:c>
      <x:c r="N7" s="10" t="str">
        <x:v>NS-WS-106</x:v>
      </x:c>
    </x:row>
    <x:row r="8">
      <x:c r="A8" s="10" t="str">
        <x:v>INC-2026-007</x:v>
      </x:c>
      <x:c r="B8" s="10" t="str">
        <x:v>INC</x:v>
      </x:c>
      <x:c r="C8" s="10" t="str">
        <x:v>Print jobs stuck in queue</x:v>
      </x:c>
      <x:c r="D8" s="10" t="str">
        <x:v>Printing</x:v>
      </x:c>
      <x:c r="E8" s="10" t="str">
        <x:v>P3</x:v>
      </x:c>
      <x:c r="F8" s="10" t="str">
        <x:v>Grace Kim</x:v>
      </x:c>
      <x:c r="G8" s="10" t="str">
        <x:v>Morgan Reyes</x:v>
      </x:c>
      <x:c r="H8" s="10" t="str">
        <x:v>2026-01-07 14:19</x:v>
      </x:c>
      <x:c r="I8" s="10" t="str">
        <x:v>2026-01-07 18:38</x:v>
      </x:c>
      <x:c r="J8" s="10" t="str">
        <x:v>259</x:v>
      </x:c>
      <x:c r="K8" s="10" t="str">
        <x:v>480</x:v>
      </x:c>
      <x:c r="L8" s="10" t="str">
        <x:v>Met</x:v>
      </x:c>
      <x:c r="M8" s="10" t="str">
        <x:v>Resolved</x:v>
      </x:c>
      <x:c r="N8" s="10" t="str">
        <x:v>NS-WS-107</x:v>
      </x:c>
    </x:row>
    <x:row r="9">
      <x:c r="A9" s="10" t="str">
        <x:v>INC-2026-008</x:v>
      </x:c>
      <x:c r="B9" s="10" t="str">
        <x:v>INC</x:v>
      </x:c>
      <x:c r="C9" s="10" t="str">
        <x:v>Department printer offline</x:v>
      </x:c>
      <x:c r="D9" s="10" t="str">
        <x:v>Printing</x:v>
      </x:c>
      <x:c r="E9" s="10" t="str">
        <x:v>P3</x:v>
      </x:c>
      <x:c r="F9" s="10" t="str">
        <x:v>Henry Patel</x:v>
      </x:c>
      <x:c r="G9" s="10" t="str">
        <x:v>Alex Thompson</x:v>
      </x:c>
      <x:c r="H9" s="10" t="str">
        <x:v>2026-01-07 08:26</x:v>
      </x:c>
      <x:c r="I9" s="10" t="str">
        <x:v>2026-01-07 14:06</x:v>
      </x:c>
      <x:c r="J9" s="10" t="str">
        <x:v>340</x:v>
      </x:c>
      <x:c r="K9" s="10" t="str">
        <x:v>480</x:v>
      </x:c>
      <x:c r="L9" s="10" t="str">
        <x:v>Met</x:v>
      </x:c>
      <x:c r="M9" s="10" t="str">
        <x:v>Resolved</x:v>
      </x:c>
      <x:c r="N9" s="10" t="str">
        <x:v>NS-WS-108</x:v>
      </x:c>
    </x:row>
    <x:row r="10">
      <x:c r="A10" s="10" t="str">
        <x:v>INC-2026-009</x:v>
      </x:c>
      <x:c r="B10" s="10" t="str">
        <x:v>INC</x:v>
      </x:c>
      <x:c r="C10" s="10" t="str">
        <x:v>Windows workstation running slowly</x:v>
      </x:c>
      <x:c r="D10" s="10" t="str">
        <x:v>Endpoint</x:v>
      </x:c>
      <x:c r="E10" s="10" t="str">
        <x:v>P3</x:v>
      </x:c>
      <x:c r="F10" s="10" t="str">
        <x:v>Isabella Ward</x:v>
      </x:c>
      <x:c r="G10" s="10" t="str">
        <x:v>Jamie Christian II</x:v>
      </x:c>
      <x:c r="H10" s="10" t="str">
        <x:v>2026-01-07 10:33</x:v>
      </x:c>
      <x:c r="I10" s="10" t="str">
        <x:v>2026-01-07 13:35</x:v>
      </x:c>
      <x:c r="J10" s="10" t="str">
        <x:v>182</x:v>
      </x:c>
      <x:c r="K10" s="10" t="str">
        <x:v>480</x:v>
      </x:c>
      <x:c r="L10" s="10" t="str">
        <x:v>Met</x:v>
      </x:c>
      <x:c r="M10" s="10" t="str">
        <x:v>Resolved</x:v>
      </x:c>
      <x:c r="N10" s="10" t="str">
        <x:v>NS-WS-109</x:v>
      </x:c>
    </x:row>
    <x:row r="11">
      <x:c r="A11" s="10" t="str">
        <x:v>INC-2026-010</x:v>
      </x:c>
      <x:c r="B11" s="10" t="str">
        <x:v>INC</x:v>
      </x:c>
      <x:c r="C11" s="10" t="str">
        <x:v>Blue screen after driver update</x:v>
      </x:c>
      <x:c r="D11" s="10" t="str">
        <x:v>Endpoint</x:v>
      </x:c>
      <x:c r="E11" s="10" t="str">
        <x:v>P2</x:v>
      </x:c>
      <x:c r="F11" s="10" t="str">
        <x:v>Jordan Price</x:v>
      </x:c>
      <x:c r="G11" s="10" t="str">
        <x:v>Morgan Reyes</x:v>
      </x:c>
      <x:c r="H11" s="10" t="str">
        <x:v>2026-01-08 12:40</x:v>
      </x:c>
      <x:c r="I11" s="10" t="str">
        <x:v>2026-01-08 14:52</x:v>
      </x:c>
      <x:c r="J11" s="10" t="str">
        <x:v>132</x:v>
      </x:c>
      <x:c r="K11" s="10" t="str">
        <x:v>240</x:v>
      </x:c>
      <x:c r="L11" s="10" t="str">
        <x:v>Met</x:v>
      </x:c>
      <x:c r="M11" s="10" t="str">
        <x:v>Resolved</x:v>
      </x:c>
      <x:c r="N11" s="10" t="str">
        <x:v>NS-WS-110</x:v>
      </x:c>
    </x:row>
    <x:row r="12">
      <x:c r="A12" s="10" t="str">
        <x:v>INC-2026-011</x:v>
      </x:c>
      <x:c r="B12" s="10" t="str">
        <x:v>INC</x:v>
      </x:c>
      <x:c r="C12" s="10" t="str">
        <x:v>Microsoft 365 app will not launch</x:v>
      </x:c>
      <x:c r="D12" s="10" t="str">
        <x:v>Software</x:v>
      </x:c>
      <x:c r="E12" s="10" t="str">
        <x:v>P3</x:v>
      </x:c>
      <x:c r="F12" s="10" t="str">
        <x:v>Kendra Bell</x:v>
      </x:c>
      <x:c r="G12" s="10" t="str">
        <x:v>Alex Thompson</x:v>
      </x:c>
      <x:c r="H12" s="10" t="str">
        <x:v>2026-01-08 14:47</x:v>
      </x:c>
      <x:c r="I12" s="10" t="str">
        <x:v>2026-01-08 20:32</x:v>
      </x:c>
      <x:c r="J12" s="10" t="str">
        <x:v>345</x:v>
      </x:c>
      <x:c r="K12" s="10" t="str">
        <x:v>480</x:v>
      </x:c>
      <x:c r="L12" s="10" t="str">
        <x:v>Met</x:v>
      </x:c>
      <x:c r="M12" s="10" t="str">
        <x:v>Resolved</x:v>
      </x:c>
      <x:c r="N12" s="10" t="str">
        <x:v>NS-WS-111</x:v>
      </x:c>
    </x:row>
    <x:row r="13">
      <x:c r="A13" s="10" t="str">
        <x:v>REQ-2026-012</x:v>
      </x:c>
      <x:c r="B13" s="10" t="str">
        <x:v>REQ</x:v>
      </x:c>
      <x:c r="C13" s="10" t="str">
        <x:v>Approved application installation request</x:v>
      </x:c>
      <x:c r="D13" s="10" t="str">
        <x:v>Software</x:v>
      </x:c>
      <x:c r="E13" s="10" t="str">
        <x:v>P4</x:v>
      </x:c>
      <x:c r="F13" s="10" t="str">
        <x:v>Liam Scott</x:v>
      </x:c>
      <x:c r="G13" s="10" t="str">
        <x:v>Jamie Christian II</x:v>
      </x:c>
      <x:c r="H13" s="10" t="str">
        <x:v>2026-01-08 08:54</x:v>
      </x:c>
      <x:c r="I13" s="10" t="str">
        <x:v>2026-01-08 18:15</x:v>
      </x:c>
      <x:c r="J13" s="10" t="str">
        <x:v>561</x:v>
      </x:c>
      <x:c r="K13" s="10" t="str">
        <x:v>1440</x:v>
      </x:c>
      <x:c r="L13" s="10" t="str">
        <x:v>Met</x:v>
      </x:c>
      <x:c r="M13" s="10" t="str">
        <x:v>Resolved</x:v>
      </x:c>
      <x:c r="N13" s="10" t="str">
        <x:v>NS-WS-112</x:v>
      </x:c>
    </x:row>
    <x:row r="14">
      <x:c r="A14" s="10" t="str">
        <x:v>INC-2026-013</x:v>
      </x:c>
      <x:c r="B14" s="10" t="str">
        <x:v>INC</x:v>
      </x:c>
      <x:c r="C14" s="10" t="str">
        <x:v>Suspected phishing email</x:v>
      </x:c>
      <x:c r="D14" s="10" t="str">
        <x:v>Security</x:v>
      </x:c>
      <x:c r="E14" s="10" t="str">
        <x:v>P1</x:v>
      </x:c>
      <x:c r="F14" s="10" t="str">
        <x:v>Maya Chen</x:v>
      </x:c>
      <x:c r="G14" s="10" t="str">
        <x:v>Morgan Reyes</x:v>
      </x:c>
      <x:c r="H14" s="10" t="str">
        <x:v>2026-01-09 10:16</x:v>
      </x:c>
      <x:c r="I14" s="10" t="str">
        <x:v>2026-01-09 10:49</x:v>
      </x:c>
      <x:c r="J14" s="10" t="str">
        <x:v>33</x:v>
      </x:c>
      <x:c r="K14" s="10" t="str">
        <x:v>60</x:v>
      </x:c>
      <x:c r="L14" s="10" t="str">
        <x:v>Met</x:v>
      </x:c>
      <x:c r="M14" s="10" t="str">
        <x:v>Resolved</x:v>
      </x:c>
      <x:c r="N14" s="10" t="str">
        <x:v>NS-WS-113</x:v>
      </x:c>
    </x:row>
    <x:row r="15">
      <x:c r="A15" s="10" t="str">
        <x:v>INC-2026-014</x:v>
      </x:c>
      <x:c r="B15" s="10" t="str">
        <x:v>INC</x:v>
      </x:c>
      <x:c r="C15" s="10" t="str">
        <x:v>Lost company laptop</x:v>
      </x:c>
      <x:c r="D15" s="10" t="str">
        <x:v>Security</x:v>
      </x:c>
      <x:c r="E15" s="10" t="str">
        <x:v>P1</x:v>
      </x:c>
      <x:c r="F15" s="10" t="str">
        <x:v>Noah Evans</x:v>
      </x:c>
      <x:c r="G15" s="10" t="str">
        <x:v>Alex Thompson</x:v>
      </x:c>
      <x:c r="H15" s="10" t="str">
        <x:v>2026-01-09 12:23</x:v>
      </x:c>
      <x:c r="I15" s="10" t="str">
        <x:v>2026-01-09 13:06</x:v>
      </x:c>
      <x:c r="J15" s="10" t="str">
        <x:v>43</x:v>
      </x:c>
      <x:c r="K15" s="10" t="str">
        <x:v>60</x:v>
      </x:c>
      <x:c r="L15" s="10" t="str">
        <x:v>Met</x:v>
      </x:c>
      <x:c r="M15" s="10" t="str">
        <x:v>Resolved</x:v>
      </x:c>
      <x:c r="N15" s="10" t="str">
        <x:v>NS-WS-114</x:v>
      </x:c>
    </x:row>
    <x:row r="16">
      <x:c r="A16" s="10" t="str">
        <x:v>REQ-2026-015</x:v>
      </x:c>
      <x:c r="B16" s="10" t="str">
        <x:v>REQ</x:v>
      </x:c>
      <x:c r="C16" s="10" t="str">
        <x:v>New employee account and workstation setup</x:v>
      </x:c>
      <x:c r="D16" s="10" t="str">
        <x:v>Onboarding</x:v>
      </x:c>
      <x:c r="E16" s="10" t="str">
        <x:v>P3</x:v>
      </x:c>
      <x:c r="F16" s="10" t="str">
        <x:v>Olivia Reed</x:v>
      </x:c>
      <x:c r="G16" s="10" t="str">
        <x:v>Jamie Christian II</x:v>
      </x:c>
      <x:c r="H16" s="10" t="str">
        <x:v>2026-01-09 14:30</x:v>
      </x:c>
      <x:c r="I16" s="10" t="str">
        <x:v>2026-01-09 17:41</x:v>
      </x:c>
      <x:c r="J16" s="10" t="str">
        <x:v>191</x:v>
      </x:c>
      <x:c r="K16" s="10" t="str">
        <x:v>480</x:v>
      </x:c>
      <x:c r="L16" s="10" t="str">
        <x:v>Met</x:v>
      </x:c>
      <x:c r="M16" s="10" t="str">
        <x:v>Resolved</x:v>
      </x:c>
      <x:c r="N16" s="10" t="str">
        <x:v>NS-WS-115</x:v>
      </x:c>
    </x:row>
    <x:row r="17">
      <x:c r="A17" s="10" t="str">
        <x:v>INC-2026-016</x:v>
      </x:c>
      <x:c r="B17" s="10" t="str">
        <x:v>INC</x:v>
      </x:c>
      <x:c r="C17" s="10" t="str">
        <x:v>Terminate employee access</x:v>
      </x:c>
      <x:c r="D17" s="10" t="str">
        <x:v>Offboarding</x:v>
      </x:c>
      <x:c r="E17" s="10" t="str">
        <x:v>P1</x:v>
      </x:c>
      <x:c r="F17" s="10" t="str">
        <x:v>Peter Grant</x:v>
      </x:c>
      <x:c r="G17" s="10" t="str">
        <x:v>Morgan Reyes</x:v>
      </x:c>
      <x:c r="H17" s="10" t="str">
        <x:v>2026-01-10 08:37</x:v>
      </x:c>
      <x:c r="I17" s="10" t="str">
        <x:v>2026-01-10 09:11</x:v>
      </x:c>
      <x:c r="J17" s="10" t="str">
        <x:v>34</x:v>
      </x:c>
      <x:c r="K17" s="10" t="str">
        <x:v>60</x:v>
      </x:c>
      <x:c r="L17" s="10" t="str">
        <x:v>Met</x:v>
      </x:c>
      <x:c r="M17" s="10" t="str">
        <x:v>Resolved</x:v>
      </x:c>
      <x:c r="N17" s="10" t="str">
        <x:v>NS-WS-116</x:v>
      </x:c>
    </x:row>
    <x:row r="18">
      <x:c r="A18" s="10" t="str">
        <x:v>INC-2026-017</x:v>
      </x:c>
      <x:c r="B18" s="10" t="str">
        <x:v>INC</x:v>
      </x:c>
      <x:c r="C18" s="10" t="str">
        <x:v>Internal hostname not resolving</x:v>
      </x:c>
      <x:c r="D18" s="10" t="str">
        <x:v>DNS</x:v>
      </x:c>
      <x:c r="E18" s="10" t="str">
        <x:v>P2</x:v>
      </x:c>
      <x:c r="F18" s="10" t="str">
        <x:v>Renee Cole</x:v>
      </x:c>
      <x:c r="G18" s="10" t="str">
        <x:v>Alex Thompson</x:v>
      </x:c>
      <x:c r="H18" s="10" t="str">
        <x:v>2026-01-10 10:44</x:v>
      </x:c>
      <x:c r="I18" s="10" t="str">
        <x:v>2026-01-10 13:41</x:v>
      </x:c>
      <x:c r="J18" s="10" t="str">
        <x:v>177</x:v>
      </x:c>
      <x:c r="K18" s="10" t="str">
        <x:v>240</x:v>
      </x:c>
      <x:c r="L18" s="10" t="str">
        <x:v>Met</x:v>
      </x:c>
      <x:c r="M18" s="10" t="str">
        <x:v>Resolved</x:v>
      </x:c>
      <x:c r="N18" s="10" t="str">
        <x:v>NS-WS-117</x:v>
      </x:c>
    </x:row>
    <x:row r="19">
      <x:c r="A19" s="10" t="str">
        <x:v>INC-2026-018</x:v>
      </x:c>
      <x:c r="B19" s="10" t="str">
        <x:v>INC</x:v>
      </x:c>
      <x:c r="C19" s="10" t="str">
        <x:v>Workstation receives APIPA address</x:v>
      </x:c>
      <x:c r="D19" s="10" t="str">
        <x:v>DHCP</x:v>
      </x:c>
      <x:c r="E19" s="10" t="str">
        <x:v>P2</x:v>
      </x:c>
      <x:c r="F19" s="10" t="str">
        <x:v>Samuel Ross</x:v>
      </x:c>
      <x:c r="G19" s="10" t="str">
        <x:v>Jamie Christian II</x:v>
      </x:c>
      <x:c r="H19" s="10" t="str">
        <x:v>2026-01-10 12:51</x:v>
      </x:c>
      <x:c r="I19" s="10" t="str">
        <x:v>2026-01-10 14:29</x:v>
      </x:c>
      <x:c r="J19" s="10" t="str">
        <x:v>98</x:v>
      </x:c>
      <x:c r="K19" s="10" t="str">
        <x:v>240</x:v>
      </x:c>
      <x:c r="L19" s="10" t="str">
        <x:v>Met</x:v>
      </x:c>
      <x:c r="M19" s="10" t="str">
        <x:v>Resolved</x:v>
      </x:c>
      <x:c r="N19" s="10" t="str">
        <x:v>NS-WS-118</x:v>
      </x:c>
    </x:row>
    <x:row r="20">
      <x:c r="A20" s="10" t="str">
        <x:v>INC-2026-019</x:v>
      </x:c>
      <x:c r="B20" s="10" t="str">
        <x:v>INC</x:v>
      </x:c>
      <x:c r="C20" s="10" t="str">
        <x:v>Mapped drive policy not applying</x:v>
      </x:c>
      <x:c r="D20" s="10" t="str">
        <x:v>Group Policy</x:v>
      </x:c>
      <x:c r="E20" s="10" t="str">
        <x:v>P3</x:v>
      </x:c>
      <x:c r="F20" s="10" t="str">
        <x:v>Tanya Mills</x:v>
      </x:c>
      <x:c r="G20" s="10" t="str">
        <x:v>Morgan Reyes</x:v>
      </x:c>
      <x:c r="H20" s="10" t="str">
        <x:v>2026-01-11 14:58</x:v>
      </x:c>
      <x:c r="I20" s="10" t="str">
        <x:v>2026-01-11 19:36</x:v>
      </x:c>
      <x:c r="J20" s="10" t="str">
        <x:v>278</x:v>
      </x:c>
      <x:c r="K20" s="10" t="str">
        <x:v>480</x:v>
      </x:c>
      <x:c r="L20" s="10" t="str">
        <x:v>Met</x:v>
      </x:c>
      <x:c r="M20" s="10" t="str">
        <x:v>Resolved</x:v>
      </x:c>
      <x:c r="N20" s="10" t="str">
        <x:v>NS-WS-119</x:v>
      </x:c>
    </x:row>
    <x:row r="21">
      <x:c r="A21" s="10" t="str">
        <x:v>INC-2026-020</x:v>
      </x:c>
      <x:c r="B21" s="10" t="str">
        <x:v>INC</x:v>
      </x:c>
      <x:c r="C21" s="10" t="str">
        <x:v>Docking station monitors not detected</x:v>
      </x:c>
      <x:c r="D21" s="10" t="str">
        <x:v>Hardware</x:v>
      </x:c>
      <x:c r="E21" s="10" t="str">
        <x:v>P3</x:v>
      </x:c>
      <x:c r="F21" s="10" t="str">
        <x:v>Victor Shaw</x:v>
      </x:c>
      <x:c r="G21" s="10" t="str">
        <x:v>Alex Thompson</x:v>
      </x:c>
      <x:c r="H21" s="10" t="str">
        <x:v>2026-01-11 08:20</x:v>
      </x:c>
      <x:c r="I21" s="10" t="str">
        <x:v>2026-01-11 14:20</x:v>
      </x:c>
      <x:c r="J21" s="10" t="str">
        <x:v>360</x:v>
      </x:c>
      <x:c r="K21" s="10" t="str">
        <x:v>480</x:v>
      </x:c>
      <x:c r="L21" s="10" t="str">
        <x:v>Met</x:v>
      </x:c>
      <x:c r="M21" s="10" t="str">
        <x:v>Resolved</x:v>
      </x:c>
      <x:c r="N21" s="10" t="str">
        <x:v>NS-WS-120</x:v>
      </x:c>
    </x:row>
    <x:row r="22">
      <x:c r="A22" s="10" t="str">
        <x:v>INC-2026-021</x:v>
      </x:c>
      <x:c r="B22" s="10" t="str">
        <x:v>INC</x:v>
      </x:c>
      <x:c r="C22" s="10" t="str">
        <x:v>Password reset after lockout</x:v>
      </x:c>
      <x:c r="D22" s="10" t="str">
        <x:v>Account Access</x:v>
      </x:c>
      <x:c r="E22" s="10" t="str">
        <x:v>P2</x:v>
      </x:c>
      <x:c r="F22" s="10" t="str">
        <x:v>Alicia Morgan</x:v>
      </x:c>
      <x:c r="G22" s="10" t="str">
        <x:v>Jamie Christian II</x:v>
      </x:c>
      <x:c r="H22" s="10" t="str">
        <x:v>2026-01-11 10:27</x:v>
      </x:c>
      <x:c r="I22" s="10" t="str">
        <x:v>2026-01-11 12:07</x:v>
      </x:c>
      <x:c r="J22" s="10" t="str">
        <x:v>100</x:v>
      </x:c>
      <x:c r="K22" s="10" t="str">
        <x:v>240</x:v>
      </x:c>
      <x:c r="L22" s="10" t="str">
        <x:v>Met</x:v>
      </x:c>
      <x:c r="M22" s="10" t="str">
        <x:v>Resolved</x:v>
      </x:c>
      <x:c r="N22" s="10" t="str">
        <x:v>NS-WS-121</x:v>
      </x:c>
    </x:row>
    <x:row r="23">
      <x:c r="A23" s="10" t="str">
        <x:v>INC-2026-022</x:v>
      </x:c>
      <x:c r="B23" s="10" t="str">
        <x:v>INC</x:v>
      </x:c>
      <x:c r="C23" s="10" t="str">
        <x:v>User cannot sign in after password change</x:v>
      </x:c>
      <x:c r="D23" s="10" t="str">
        <x:v>Account Access</x:v>
      </x:c>
      <x:c r="E23" s="10" t="str">
        <x:v>P3</x:v>
      </x:c>
      <x:c r="F23" s="10" t="str">
        <x:v>Brandon Lee</x:v>
      </x:c>
      <x:c r="G23" s="10" t="str">
        <x:v>Morgan Reyes</x:v>
      </x:c>
      <x:c r="H23" s="10" t="str">
        <x:v>2026-01-12 12:34</x:v>
      </x:c>
      <x:c r="I23" s="10" t="str">
        <x:v>2026-01-12 17:17</x:v>
      </x:c>
      <x:c r="J23" s="10" t="str">
        <x:v>283</x:v>
      </x:c>
      <x:c r="K23" s="10" t="str">
        <x:v>480</x:v>
      </x:c>
      <x:c r="L23" s="10" t="str">
        <x:v>Met</x:v>
      </x:c>
      <x:c r="M23" s="10" t="str">
        <x:v>Resolved</x:v>
      </x:c>
      <x:c r="N23" s="10" t="str">
        <x:v>NS-WS-122</x:v>
      </x:c>
    </x:row>
    <x:row r="24">
      <x:c r="A24" s="10" t="str">
        <x:v>INC-2026-023</x:v>
      </x:c>
      <x:c r="B24" s="10" t="str">
        <x:v>INC</x:v>
      </x:c>
      <x:c r="C24" s="10" t="str">
        <x:v>No internet connectivity</x:v>
      </x:c>
      <x:c r="D24" s="10" t="str">
        <x:v>Network</x:v>
      </x:c>
      <x:c r="E24" s="10" t="str">
        <x:v>P3</x:v>
      </x:c>
      <x:c r="F24" s="10" t="str">
        <x:v>Carla Ruiz</x:v>
      </x:c>
      <x:c r="G24" s="10" t="str">
        <x:v>Alex Thompson</x:v>
      </x:c>
      <x:c r="H24" s="10" t="str">
        <x:v>2026-01-12 14:41</x:v>
      </x:c>
      <x:c r="I24" s="10" t="str">
        <x:v>2026-01-12 20:45</x:v>
      </x:c>
      <x:c r="J24" s="10" t="str">
        <x:v>364</x:v>
      </x:c>
      <x:c r="K24" s="10" t="str">
        <x:v>480</x:v>
      </x:c>
      <x:c r="L24" s="10" t="str">
        <x:v>Met</x:v>
      </x:c>
      <x:c r="M24" s="10" t="str">
        <x:v>Resolved</x:v>
      </x:c>
      <x:c r="N24" s="10" t="str">
        <x:v>NS-WS-123</x:v>
      </x:c>
    </x:row>
    <x:row r="25">
      <x:c r="A25" s="10" t="str">
        <x:v>INC-2026-024</x:v>
      </x:c>
      <x:c r="B25" s="10" t="str">
        <x:v>INC</x:v>
      </x:c>
      <x:c r="C25" s="10" t="str">
        <x:v>VPN connects but internal resources unavailable</x:v>
      </x:c>
      <x:c r="D25" s="10" t="str">
        <x:v>Network</x:v>
      </x:c>
      <x:c r="E25" s="10" t="str">
        <x:v>P3</x:v>
      </x:c>
      <x:c r="F25" s="10" t="str">
        <x:v>Daniel Brooks</x:v>
      </x:c>
      <x:c r="G25" s="10" t="str">
        <x:v>Jamie Christian II</x:v>
      </x:c>
      <x:c r="H25" s="10" t="str">
        <x:v>2026-01-12 08:48</x:v>
      </x:c>
      <x:c r="I25" s="10" t="str">
        <x:v>2026-01-12 12:14</x:v>
      </x:c>
      <x:c r="J25" s="10" t="str">
        <x:v>206</x:v>
      </x:c>
      <x:c r="K25" s="10" t="str">
        <x:v>480</x:v>
      </x:c>
      <x:c r="L25" s="10" t="str">
        <x:v>Met</x:v>
      </x:c>
      <x:c r="M25" s="10" t="str">
        <x:v>Resolved</x:v>
      </x:c>
      <x:c r="N25" s="10" t="str">
        <x:v>NS-WS-124</x:v>
      </x:c>
    </x:row>
    <x:row r="26">
      <x:c r="A26" s="10" t="str">
        <x:v>INC-2026-025</x:v>
      </x:c>
      <x:c r="B26" s="10" t="str">
        <x:v>INC</x:v>
      </x:c>
      <x:c r="C26" s="10" t="str">
        <x:v>Mapped drive missing</x:v>
      </x:c>
      <x:c r="D26" s="10" t="str">
        <x:v>File Services</x:v>
      </x:c>
      <x:c r="E26" s="10" t="str">
        <x:v>P3</x:v>
      </x:c>
      <x:c r="F26" s="10" t="str">
        <x:v>Evelyn Hart</x:v>
      </x:c>
      <x:c r="G26" s="10" t="str">
        <x:v>Morgan Reyes</x:v>
      </x:c>
      <x:c r="H26" s="10" t="str">
        <x:v>2026-01-13 10:55</x:v>
      </x:c>
      <x:c r="I26" s="10" t="str">
        <x:v>2026-01-13 15:43</x:v>
      </x:c>
      <x:c r="J26" s="10" t="str">
        <x:v>288</x:v>
      </x:c>
      <x:c r="K26" s="10" t="str">
        <x:v>480</x:v>
      </x:c>
      <x:c r="L26" s="10" t="str">
        <x:v>Met</x:v>
      </x:c>
      <x:c r="M26" s="10" t="str">
        <x:v>Resolved</x:v>
      </x:c>
      <x:c r="N26" s="10" t="str">
        <x:v>NS-WS-125</x:v>
      </x:c>
    </x:row>
    <x:row r="27">
      <x:c r="A27" s="10" t="str">
        <x:v>INC-2026-026</x:v>
      </x:c>
      <x:c r="B27" s="10" t="str">
        <x:v>INC</x:v>
      </x:c>
      <x:c r="C27" s="10" t="str">
        <x:v>Access denied to department share</x:v>
      </x:c>
      <x:c r="D27" s="10" t="str">
        <x:v>File Services</x:v>
      </x:c>
      <x:c r="E27" s="10" t="str">
        <x:v>P3</x:v>
      </x:c>
      <x:c r="F27" s="10" t="str">
        <x:v>Frank Owens</x:v>
      </x:c>
      <x:c r="G27" s="10" t="str">
        <x:v>Alex Thompson</x:v>
      </x:c>
      <x:c r="H27" s="10" t="str">
        <x:v>2026-01-13 12:17</x:v>
      </x:c>
      <x:c r="I27" s="10" t="str">
        <x:v>2026-01-13 18:26</x:v>
      </x:c>
      <x:c r="J27" s="10" t="str">
        <x:v>369</x:v>
      </x:c>
      <x:c r="K27" s="10" t="str">
        <x:v>480</x:v>
      </x:c>
      <x:c r="L27" s="10" t="str">
        <x:v>Met</x:v>
      </x:c>
      <x:c r="M27" s="10" t="str">
        <x:v>Resolved</x:v>
      </x:c>
      <x:c r="N27" s="10" t="str">
        <x:v>NS-WS-126</x:v>
      </x:c>
    </x:row>
    <x:row r="28">
      <x:c r="A28" s="10" t="str">
        <x:v>INC-2026-027</x:v>
      </x:c>
      <x:c r="B28" s="10" t="str">
        <x:v>INC</x:v>
      </x:c>
      <x:c r="C28" s="10" t="str">
        <x:v>Print jobs stuck in queue</x:v>
      </x:c>
      <x:c r="D28" s="10" t="str">
        <x:v>Printing</x:v>
      </x:c>
      <x:c r="E28" s="10" t="str">
        <x:v>P3</x:v>
      </x:c>
      <x:c r="F28" s="10" t="str">
        <x:v>Grace Kim</x:v>
      </x:c>
      <x:c r="G28" s="10" t="str">
        <x:v>Jamie Christian II</x:v>
      </x:c>
      <x:c r="H28" s="10" t="str">
        <x:v>2026-01-13 14:24</x:v>
      </x:c>
      <x:c r="I28" s="10" t="str">
        <x:v>2026-01-13 17:55</x:v>
      </x:c>
      <x:c r="J28" s="10" t="str">
        <x:v>211</x:v>
      </x:c>
      <x:c r="K28" s="10" t="str">
        <x:v>480</x:v>
      </x:c>
      <x:c r="L28" s="10" t="str">
        <x:v>Met</x:v>
      </x:c>
      <x:c r="M28" s="10" t="str">
        <x:v>Resolved</x:v>
      </x:c>
      <x:c r="N28" s="10" t="str">
        <x:v>NS-WS-127</x:v>
      </x:c>
    </x:row>
    <x:row r="29">
      <x:c r="A29" s="10" t="str">
        <x:v>INC-2026-028</x:v>
      </x:c>
      <x:c r="B29" s="10" t="str">
        <x:v>INC</x:v>
      </x:c>
      <x:c r="C29" s="10" t="str">
        <x:v>Department printer offline</x:v>
      </x:c>
      <x:c r="D29" s="10" t="str">
        <x:v>Printing</x:v>
      </x:c>
      <x:c r="E29" s="10" t="str">
        <x:v>P3</x:v>
      </x:c>
      <x:c r="F29" s="10" t="str">
        <x:v>Henry Patel</x:v>
      </x:c>
      <x:c r="G29" s="10" t="str">
        <x:v>Morgan Reyes</x:v>
      </x:c>
      <x:c r="H29" s="10" t="str">
        <x:v>2026-01-14 08:31</x:v>
      </x:c>
      <x:c r="I29" s="10" t="str">
        <x:v>2026-01-14 13:23</x:v>
      </x:c>
      <x:c r="J29" s="10" t="str">
        <x:v>292</x:v>
      </x:c>
      <x:c r="K29" s="10" t="str">
        <x:v>480</x:v>
      </x:c>
      <x:c r="L29" s="10" t="str">
        <x:v>Met</x:v>
      </x:c>
      <x:c r="M29" s="10" t="str">
        <x:v>Resolved</x:v>
      </x:c>
      <x:c r="N29" s="10" t="str">
        <x:v>NS-WS-128</x:v>
      </x:c>
    </x:row>
    <x:row r="30">
      <x:c r="A30" s="10" t="str">
        <x:v>INC-2026-029</x:v>
      </x:c>
      <x:c r="B30" s="10" t="str">
        <x:v>INC</x:v>
      </x:c>
      <x:c r="C30" s="10" t="str">
        <x:v>Windows workstation running slowly</x:v>
      </x:c>
      <x:c r="D30" s="10" t="str">
        <x:v>Endpoint</x:v>
      </x:c>
      <x:c r="E30" s="10" t="str">
        <x:v>P3</x:v>
      </x:c>
      <x:c r="F30" s="10" t="str">
        <x:v>Isabella Ward</x:v>
      </x:c>
      <x:c r="G30" s="10" t="str">
        <x:v>Alex Thompson</x:v>
      </x:c>
      <x:c r="H30" s="10" t="str">
        <x:v>2026-01-14 10:38</x:v>
      </x:c>
      <x:c r="I30" s="10" t="str">
        <x:v>2026-01-14 16:52</x:v>
      </x:c>
      <x:c r="J30" s="10" t="str">
        <x:v>374</x:v>
      </x:c>
      <x:c r="K30" s="10" t="str">
        <x:v>480</x:v>
      </x:c>
      <x:c r="L30" s="10" t="str">
        <x:v>Met</x:v>
      </x:c>
      <x:c r="M30" s="10" t="str">
        <x:v>Resolved</x:v>
      </x:c>
      <x:c r="N30" s="10" t="str">
        <x:v>NS-WS-129</x:v>
      </x:c>
    </x:row>
    <x:row r="31">
      <x:c r="A31" s="10" t="str">
        <x:v>INC-2026-030</x:v>
      </x:c>
      <x:c r="B31" s="10" t="str">
        <x:v>INC</x:v>
      </x:c>
      <x:c r="C31" s="10" t="str">
        <x:v>Blue screen after driver update</x:v>
      </x:c>
      <x:c r="D31" s="10" t="str">
        <x:v>Endpoint</x:v>
      </x:c>
      <x:c r="E31" s="10" t="str">
        <x:v>P2</x:v>
      </x:c>
      <x:c r="F31" s="10" t="str">
        <x:v>Jordan Price</x:v>
      </x:c>
      <x:c r="G31" s="10" t="str">
        <x:v>Jamie Christian II</x:v>
      </x:c>
      <x:c r="H31" s="10" t="str">
        <x:v>2026-01-14 12:45</x:v>
      </x:c>
      <x:c r="I31" s="10" t="str">
        <x:v>2026-01-14 14:32</x:v>
      </x:c>
      <x:c r="J31" s="10" t="str">
        <x:v>107</x:v>
      </x:c>
      <x:c r="K31" s="10" t="str">
        <x:v>240</x:v>
      </x:c>
      <x:c r="L31" s="10" t="str">
        <x:v>Met</x:v>
      </x:c>
      <x:c r="M31" s="10" t="str">
        <x:v>Resolved</x:v>
      </x:c>
      <x:c r="N31" s="10" t="str">
        <x:v>NS-WS-130</x:v>
      </x:c>
    </x:row>
    <x:row r="32">
      <x:c r="A32" s="10" t="str">
        <x:v>INC-2026-031</x:v>
      </x:c>
      <x:c r="B32" s="10" t="str">
        <x:v>INC</x:v>
      </x:c>
      <x:c r="C32" s="10" t="str">
        <x:v>Microsoft 365 app will not launch</x:v>
      </x:c>
      <x:c r="D32" s="10" t="str">
        <x:v>Software</x:v>
      </x:c>
      <x:c r="E32" s="10" t="str">
        <x:v>P3</x:v>
      </x:c>
      <x:c r="F32" s="10" t="str">
        <x:v>Kendra Bell</x:v>
      </x:c>
      <x:c r="G32" s="10" t="str">
        <x:v>Morgan Reyes</x:v>
      </x:c>
      <x:c r="H32" s="10" t="str">
        <x:v>2026-01-15 14:52</x:v>
      </x:c>
      <x:c r="I32" s="10" t="str">
        <x:v>2026-01-15 19:49</x:v>
      </x:c>
      <x:c r="J32" s="10" t="str">
        <x:v>297</x:v>
      </x:c>
      <x:c r="K32" s="10" t="str">
        <x:v>480</x:v>
      </x:c>
      <x:c r="L32" s="10" t="str">
        <x:v>Met</x:v>
      </x:c>
      <x:c r="M32" s="10" t="str">
        <x:v>Resolved</x:v>
      </x:c>
      <x:c r="N32" s="10" t="str">
        <x:v>NS-WS-131</x:v>
      </x:c>
    </x:row>
    <x:row r="33">
      <x:c r="A33" s="10" t="str">
        <x:v>INC-2026-032</x:v>
      </x:c>
      <x:c r="B33" s="10" t="str">
        <x:v>INC</x:v>
      </x:c>
      <x:c r="C33" s="10" t="str">
        <x:v>Approved application installation request</x:v>
      </x:c>
      <x:c r="D33" s="10" t="str">
        <x:v>Software</x:v>
      </x:c>
      <x:c r="E33" s="10" t="str">
        <x:v>P4</x:v>
      </x:c>
      <x:c r="F33" s="10" t="str">
        <x:v>Liam Scott</x:v>
      </x:c>
      <x:c r="G33" s="10" t="str">
        <x:v>Alex Thompson</x:v>
      </x:c>
      <x:c r="H33" s="10" t="str">
        <x:v>2026-01-15 08:59</x:v>
      </x:c>
      <x:c r="I33" s="10" t="str">
        <x:v>2026-01-16 03:56</x:v>
      </x:c>
      <x:c r="J33" s="10" t="str">
        <x:v>1137</x:v>
      </x:c>
      <x:c r="K33" s="10" t="str">
        <x:v>1440</x:v>
      </x:c>
      <x:c r="L33" s="10" t="str">
        <x:v>Met</x:v>
      </x:c>
      <x:c r="M33" s="10" t="str">
        <x:v>Resolved</x:v>
      </x:c>
      <x:c r="N33" s="10" t="str">
        <x:v>NS-WS-132</x:v>
      </x:c>
    </x:row>
    <x:row r="34">
      <x:c r="A34" s="10" t="str">
        <x:v>INC-2026-033</x:v>
      </x:c>
      <x:c r="B34" s="10" t="str">
        <x:v>INC</x:v>
      </x:c>
      <x:c r="C34" s="10" t="str">
        <x:v>Suspected phishing email</x:v>
      </x:c>
      <x:c r="D34" s="10" t="str">
        <x:v>Security</x:v>
      </x:c>
      <x:c r="E34" s="10" t="str">
        <x:v>P1</x:v>
      </x:c>
      <x:c r="F34" s="10" t="str">
        <x:v>Maya Chen</x:v>
      </x:c>
      <x:c r="G34" s="10" t="str">
        <x:v>Jamie Christian II</x:v>
      </x:c>
      <x:c r="H34" s="10" t="str">
        <x:v>2026-01-15 10:21</x:v>
      </x:c>
      <x:c r="I34" s="10" t="str">
        <x:v>2026-01-15 10:48</x:v>
      </x:c>
      <x:c r="J34" s="10" t="str">
        <x:v>27</x:v>
      </x:c>
      <x:c r="K34" s="10" t="str">
        <x:v>60</x:v>
      </x:c>
      <x:c r="L34" s="10" t="str">
        <x:v>Met</x:v>
      </x:c>
      <x:c r="M34" s="10" t="str">
        <x:v>Resolved</x:v>
      </x:c>
      <x:c r="N34" s="10" t="str">
        <x:v>NS-WS-133</x:v>
      </x:c>
    </x:row>
    <x:row r="35">
      <x:c r="A35" s="10" t="str">
        <x:v>INC-2026-034</x:v>
      </x:c>
      <x:c r="B35" s="10" t="str">
        <x:v>INC</x:v>
      </x:c>
      <x:c r="C35" s="10" t="str">
        <x:v>Lost company laptop</x:v>
      </x:c>
      <x:c r="D35" s="10" t="str">
        <x:v>Security</x:v>
      </x:c>
      <x:c r="E35" s="10" t="str">
        <x:v>P1</x:v>
      </x:c>
      <x:c r="F35" s="10" t="str">
        <x:v>Noah Evans</x:v>
      </x:c>
      <x:c r="G35" s="10" t="str">
        <x:v>Morgan Reyes</x:v>
      </x:c>
      <x:c r="H35" s="10" t="str">
        <x:v>2026-01-16 12:28</x:v>
      </x:c>
      <x:c r="I35" s="10" t="str">
        <x:v>2026-01-16 13:05</x:v>
      </x:c>
      <x:c r="J35" s="10" t="str">
        <x:v>37</x:v>
      </x:c>
      <x:c r="K35" s="10" t="str">
        <x:v>60</x:v>
      </x:c>
      <x:c r="L35" s="10" t="str">
        <x:v>Met</x:v>
      </x:c>
      <x:c r="M35" s="10" t="str">
        <x:v>Resolved</x:v>
      </x:c>
      <x:c r="N35" s="10" t="str">
        <x:v>NS-WS-134</x:v>
      </x:c>
    </x:row>
    <x:row r="36">
      <x:c r="A36" s="10" t="str">
        <x:v>INC-2026-035</x:v>
      </x:c>
      <x:c r="B36" s="10" t="str">
        <x:v>INC</x:v>
      </x:c>
      <x:c r="C36" s="10" t="str">
        <x:v>New employee account and workstation setup</x:v>
      </x:c>
      <x:c r="D36" s="10" t="str">
        <x:v>Onboarding</x:v>
      </x:c>
      <x:c r="E36" s="10" t="str">
        <x:v>P3</x:v>
      </x:c>
      <x:c r="F36" s="10" t="str">
        <x:v>Olivia Reed</x:v>
      </x:c>
      <x:c r="G36" s="10" t="str">
        <x:v>Alex Thompson</x:v>
      </x:c>
      <x:c r="H36" s="10" t="str">
        <x:v>2026-01-16 14:35</x:v>
      </x:c>
      <x:c r="I36" s="10" t="str">
        <x:v>2026-01-16 20:59</x:v>
      </x:c>
      <x:c r="J36" s="10" t="str">
        <x:v>384</x:v>
      </x:c>
      <x:c r="K36" s="10" t="str">
        <x:v>480</x:v>
      </x:c>
      <x:c r="L36" s="10" t="str">
        <x:v>Met</x:v>
      </x:c>
      <x:c r="M36" s="10" t="str">
        <x:v>Resolved</x:v>
      </x:c>
      <x:c r="N36" s="10" t="str">
        <x:v>NS-WS-135</x:v>
      </x:c>
    </x:row>
    <x:row r="37">
      <x:c r="A37" s="10" t="str">
        <x:v>INC-2026-036</x:v>
      </x:c>
      <x:c r="B37" s="10" t="str">
        <x:v>INC</x:v>
      </x:c>
      <x:c r="C37" s="10" t="str">
        <x:v>Terminate employee access</x:v>
      </x:c>
      <x:c r="D37" s="10" t="str">
        <x:v>Offboarding</x:v>
      </x:c>
      <x:c r="E37" s="10" t="str">
        <x:v>P1</x:v>
      </x:c>
      <x:c r="F37" s="10" t="str">
        <x:v>Peter Grant</x:v>
      </x:c>
      <x:c r="G37" s="10" t="str">
        <x:v>Jamie Christian II</x:v>
      </x:c>
      <x:c r="H37" s="10" t="str">
        <x:v>2026-01-16 08:42</x:v>
      </x:c>
      <x:c r="I37" s="10" t="str">
        <x:v>2026-01-16 09:10</x:v>
      </x:c>
      <x:c r="J37" s="10" t="str">
        <x:v>28</x:v>
      </x:c>
      <x:c r="K37" s="10" t="str">
        <x:v>60</x:v>
      </x:c>
      <x:c r="L37" s="10" t="str">
        <x:v>Met</x:v>
      </x:c>
      <x:c r="M37" s="10" t="str">
        <x:v>Resolved</x:v>
      </x:c>
      <x:c r="N37" s="10" t="str">
        <x:v>NS-WS-136</x:v>
      </x:c>
    </x:row>
    <x:row r="38">
      <x:c r="A38" s="10" t="str">
        <x:v>INC-2026-037</x:v>
      </x:c>
      <x:c r="B38" s="10" t="str">
        <x:v>INC</x:v>
      </x:c>
      <x:c r="C38" s="10" t="str">
        <x:v>Internal hostname not resolving</x:v>
      </x:c>
      <x:c r="D38" s="10" t="str">
        <x:v>DNS</x:v>
      </x:c>
      <x:c r="E38" s="10" t="str">
        <x:v>P2</x:v>
      </x:c>
      <x:c r="F38" s="10" t="str">
        <x:v>Renee Cole</x:v>
      </x:c>
      <x:c r="G38" s="10" t="str">
        <x:v>Morgan Reyes</x:v>
      </x:c>
      <x:c r="H38" s="10" t="str">
        <x:v>2026-01-17 10:49</x:v>
      </x:c>
      <x:c r="I38" s="10" t="str">
        <x:v>2026-01-17 13:22</x:v>
      </x:c>
      <x:c r="J38" s="10" t="str">
        <x:v>153</x:v>
      </x:c>
      <x:c r="K38" s="10" t="str">
        <x:v>240</x:v>
      </x:c>
      <x:c r="L38" s="10" t="str">
        <x:v>Met</x:v>
      </x:c>
      <x:c r="M38" s="10" t="str">
        <x:v>Resolved</x:v>
      </x:c>
      <x:c r="N38" s="10" t="str">
        <x:v>NS-WS-137</x:v>
      </x:c>
    </x:row>
    <x:row r="39">
      <x:c r="A39" s="10" t="str">
        <x:v>INC-2026-038</x:v>
      </x:c>
      <x:c r="B39" s="10" t="str">
        <x:v>INC</x:v>
      </x:c>
      <x:c r="C39" s="10" t="str">
        <x:v>Workstation receives APIPA address</x:v>
      </x:c>
      <x:c r="D39" s="10" t="str">
        <x:v>DHCP</x:v>
      </x:c>
      <x:c r="E39" s="10" t="str">
        <x:v>P2</x:v>
      </x:c>
      <x:c r="F39" s="10" t="str">
        <x:v>Samuel Ross</x:v>
      </x:c>
      <x:c r="G39" s="10" t="str">
        <x:v>Alex Thompson</x:v>
      </x:c>
      <x:c r="H39" s="10" t="str">
        <x:v>2026-01-17 12:56</x:v>
      </x:c>
      <x:c r="I39" s="10" t="str">
        <x:v>2026-01-17 16:10</x:v>
      </x:c>
      <x:c r="J39" s="10" t="str">
        <x:v>194</x:v>
      </x:c>
      <x:c r="K39" s="10" t="str">
        <x:v>240</x:v>
      </x:c>
      <x:c r="L39" s="10" t="str">
        <x:v>Met</x:v>
      </x:c>
      <x:c r="M39" s="10" t="str">
        <x:v>Resolved</x:v>
      </x:c>
      <x:c r="N39" s="10" t="str">
        <x:v>NS-WS-138</x:v>
      </x:c>
    </x:row>
    <x:row r="40">
      <x:c r="A40" s="10" t="str">
        <x:v>INC-2026-039</x:v>
      </x:c>
      <x:c r="B40" s="10" t="str">
        <x:v>INC</x:v>
      </x:c>
      <x:c r="C40" s="10" t="str">
        <x:v>Mapped drive policy not applying</x:v>
      </x:c>
      <x:c r="D40" s="10" t="str">
        <x:v>Group Policy</x:v>
      </x:c>
      <x:c r="E40" s="10" t="str">
        <x:v>P3</x:v>
      </x:c>
      <x:c r="F40" s="10" t="str">
        <x:v>Tanya Mills</x:v>
      </x:c>
      <x:c r="G40" s="10" t="str">
        <x:v>Jamie Christian II</x:v>
      </x:c>
      <x:c r="H40" s="10" t="str">
        <x:v>2026-01-17 14:18</x:v>
      </x:c>
      <x:c r="I40" s="10" t="str">
        <x:v>2026-01-17 18:08</x:v>
      </x:c>
      <x:c r="J40" s="10" t="str">
        <x:v>230</x:v>
      </x:c>
      <x:c r="K40" s="10" t="str">
        <x:v>480</x:v>
      </x:c>
      <x:c r="L40" s="10" t="str">
        <x:v>Met</x:v>
      </x:c>
      <x:c r="M40" s="10" t="str">
        <x:v>Resolved</x:v>
      </x:c>
      <x:c r="N40" s="10" t="str">
        <x:v>NS-WS-139</x:v>
      </x:c>
    </x:row>
    <x:row r="41">
      <x:c r="A41" s="10" t="str">
        <x:v>INC-2026-040</x:v>
      </x:c>
      <x:c r="B41" s="10" t="str">
        <x:v>INC</x:v>
      </x:c>
      <x:c r="C41" s="10" t="str">
        <x:v>Docking station monitors not detected</x:v>
      </x:c>
      <x:c r="D41" s="10" t="str">
        <x:v>Hardware</x:v>
      </x:c>
      <x:c r="E41" s="10" t="str">
        <x:v>P3</x:v>
      </x:c>
      <x:c r="F41" s="10" t="str">
        <x:v>Victor Shaw</x:v>
      </x:c>
      <x:c r="G41" s="10" t="str">
        <x:v>Morgan Reyes</x:v>
      </x:c>
      <x:c r="H41" s="10" t="str">
        <x:v>2026-01-18 08:25</x:v>
      </x:c>
      <x:c r="I41" s="10" t="str">
        <x:v>2026-01-18 13:36</x:v>
      </x:c>
      <x:c r="J41" s="10" t="str">
        <x:v>311</x:v>
      </x:c>
      <x:c r="K41" s="10" t="str">
        <x:v>480</x:v>
      </x:c>
      <x:c r="L41" s="10" t="str">
        <x:v>Met</x:v>
      </x:c>
      <x:c r="M41" s="10" t="str">
        <x:v>Resolved</x:v>
      </x:c>
      <x:c r="N41" s="10" t="str">
        <x:v>NS-WS-140</x:v>
      </x:c>
    </x:row>
    <x:row r="42">
      <x:c r="A42" s="10" t="str">
        <x:v>INC-2026-041</x:v>
      </x:c>
      <x:c r="B42" s="10" t="str">
        <x:v>INC</x:v>
      </x:c>
      <x:c r="C42" s="10" t="str">
        <x:v>Password reset after lockout</x:v>
      </x:c>
      <x:c r="D42" s="10" t="str">
        <x:v>Account Access</x:v>
      </x:c>
      <x:c r="E42" s="10" t="str">
        <x:v>P2</x:v>
      </x:c>
      <x:c r="F42" s="10" t="str">
        <x:v>Alicia Morgan</x:v>
      </x:c>
      <x:c r="G42" s="10" t="str">
        <x:v>Alex Thompson</x:v>
      </x:c>
      <x:c r="H42" s="10" t="str">
        <x:v>2026-01-18 10:32</x:v>
      </x:c>
      <x:c r="I42" s="10" t="str">
        <x:v>2026-01-18 13:48</x:v>
      </x:c>
      <x:c r="J42" s="10" t="str">
        <x:v>196</x:v>
      </x:c>
      <x:c r="K42" s="10" t="str">
        <x:v>240</x:v>
      </x:c>
      <x:c r="L42" s="10" t="str">
        <x:v>Met</x:v>
      </x:c>
      <x:c r="M42" s="10" t="str">
        <x:v>Resolved</x:v>
      </x:c>
      <x:c r="N42" s="10" t="str">
        <x:v>NS-WS-141</x:v>
      </x:c>
    </x:row>
    <x:row r="43">
      <x:c r="A43" s="10" t="str">
        <x:v>INC-2026-042</x:v>
      </x:c>
      <x:c r="B43" s="10" t="str">
        <x:v>INC</x:v>
      </x:c>
      <x:c r="C43" s="10" t="str">
        <x:v>User cannot sign in after password change</x:v>
      </x:c>
      <x:c r="D43" s="10" t="str">
        <x:v>Account Access</x:v>
      </x:c>
      <x:c r="E43" s="10" t="str">
        <x:v>P3</x:v>
      </x:c>
      <x:c r="F43" s="10" t="str">
        <x:v>Brandon Lee</x:v>
      </x:c>
      <x:c r="G43" s="10" t="str">
        <x:v>Jamie Christian II</x:v>
      </x:c>
      <x:c r="H43" s="10" t="str">
        <x:v>2026-01-18 12:39</x:v>
      </x:c>
      <x:c r="I43" s="10" t="str">
        <x:v>2026-01-18 16:34</x:v>
      </x:c>
      <x:c r="J43" s="10" t="str">
        <x:v>235</x:v>
      </x:c>
      <x:c r="K43" s="10" t="str">
        <x:v>480</x:v>
      </x:c>
      <x:c r="L43" s="10" t="str">
        <x:v>Met</x:v>
      </x:c>
      <x:c r="M43" s="10" t="str">
        <x:v>Resolved</x:v>
      </x:c>
      <x:c r="N43" s="10" t="str">
        <x:v>NS-WS-142</x:v>
      </x:c>
    </x:row>
    <x:row r="44">
      <x:c r="A44" s="10" t="str">
        <x:v>INC-2026-043</x:v>
      </x:c>
      <x:c r="B44" s="10" t="str">
        <x:v>INC</x:v>
      </x:c>
      <x:c r="C44" s="10" t="str">
        <x:v>No internet connectivity</x:v>
      </x:c>
      <x:c r="D44" s="10" t="str">
        <x:v>Network</x:v>
      </x:c>
      <x:c r="E44" s="10" t="str">
        <x:v>P3</x:v>
      </x:c>
      <x:c r="F44" s="10" t="str">
        <x:v>Carla Ruiz</x:v>
      </x:c>
      <x:c r="G44" s="10" t="str">
        <x:v>Morgan Reyes</x:v>
      </x:c>
      <x:c r="H44" s="10" t="str">
        <x:v>2026-01-19 14:46</x:v>
      </x:c>
      <x:c r="I44" s="10" t="str">
        <x:v>2026-01-19 20:02</x:v>
      </x:c>
      <x:c r="J44" s="10" t="str">
        <x:v>316</x:v>
      </x:c>
      <x:c r="K44" s="10" t="str">
        <x:v>480</x:v>
      </x:c>
      <x:c r="L44" s="10" t="str">
        <x:v>Met</x:v>
      </x:c>
      <x:c r="M44" s="10" t="str">
        <x:v>Resolved</x:v>
      </x:c>
      <x:c r="N44" s="10" t="str">
        <x:v>NS-WS-143</x:v>
      </x:c>
    </x:row>
    <x:row r="45">
      <x:c r="A45" s="10" t="str">
        <x:v>INC-2026-044</x:v>
      </x:c>
      <x:c r="B45" s="10" t="str">
        <x:v>INC</x:v>
      </x:c>
      <x:c r="C45" s="10" t="str">
        <x:v>VPN connects but internal resources unavailable</x:v>
      </x:c>
      <x:c r="D45" s="10" t="str">
        <x:v>Network</x:v>
      </x:c>
      <x:c r="E45" s="10" t="str">
        <x:v>P3</x:v>
      </x:c>
      <x:c r="F45" s="10" t="str">
        <x:v>Daniel Brooks</x:v>
      </x:c>
      <x:c r="G45" s="10" t="str">
        <x:v>Alex Thompson</x:v>
      </x:c>
      <x:c r="H45" s="10" t="str">
        <x:v>2026-01-19 08:53</x:v>
      </x:c>
      <x:c r="I45" s="10" t="str">
        <x:v>2026-01-19 15:31</x:v>
      </x:c>
      <x:c r="J45" s="10" t="str">
        <x:v>398</x:v>
      </x:c>
      <x:c r="K45" s="10" t="str">
        <x:v>480</x:v>
      </x:c>
      <x:c r="L45" s="10" t="str">
        <x:v>Met</x:v>
      </x:c>
      <x:c r="M45" s="10" t="str">
        <x:v>Resolved</x:v>
      </x:c>
      <x:c r="N45" s="10" t="str">
        <x:v>NS-WS-144</x:v>
      </x:c>
    </x:row>
    <x:row r="46">
      <x:c r="A46" s="10" t="str">
        <x:v>INC-2026-045</x:v>
      </x:c>
      <x:c r="B46" s="10" t="str">
        <x:v>INC</x:v>
      </x:c>
      <x:c r="C46" s="10" t="str">
        <x:v>Mapped drive missing</x:v>
      </x:c>
      <x:c r="D46" s="10" t="str">
        <x:v>File Services</x:v>
      </x:c>
      <x:c r="E46" s="10" t="str">
        <x:v>P3</x:v>
      </x:c>
      <x:c r="F46" s="10" t="str">
        <x:v>Evelyn Hart</x:v>
      </x:c>
      <x:c r="G46" s="10" t="str">
        <x:v>Jamie Christian II</x:v>
      </x:c>
      <x:c r="H46" s="10" t="str">
        <x:v>2026-01-19 10:15</x:v>
      </x:c>
      <x:c r="I46" s="10" t="str">
        <x:v>2026-01-19 14:15</x:v>
      </x:c>
      <x:c r="J46" s="10" t="str">
        <x:v>240</x:v>
      </x:c>
      <x:c r="K46" s="10" t="str">
        <x:v>480</x:v>
      </x:c>
      <x:c r="L46" s="10" t="str">
        <x:v>Met</x:v>
      </x:c>
      <x:c r="M46" s="10" t="str">
        <x:v>Resolved</x:v>
      </x:c>
      <x:c r="N46" s="10" t="str">
        <x:v>NS-WS-145</x:v>
      </x:c>
    </x:row>
    <x:row r="47">
      <x:c r="A47" s="10" t="str">
        <x:v>INC-2026-046</x:v>
      </x:c>
      <x:c r="B47" s="10" t="str">
        <x:v>INC</x:v>
      </x:c>
      <x:c r="C47" s="10" t="str">
        <x:v>Access denied to department share</x:v>
      </x:c>
      <x:c r="D47" s="10" t="str">
        <x:v>File Services</x:v>
      </x:c>
      <x:c r="E47" s="10" t="str">
        <x:v>P3</x:v>
      </x:c>
      <x:c r="F47" s="10" t="str">
        <x:v>Frank Owens</x:v>
      </x:c>
      <x:c r="G47" s="10" t="str">
        <x:v>Morgan Reyes</x:v>
      </x:c>
      <x:c r="H47" s="10" t="str">
        <x:v>2026-01-20 12:22</x:v>
      </x:c>
      <x:c r="I47" s="10" t="str">
        <x:v>2026-01-20 17:43</x:v>
      </x:c>
      <x:c r="J47" s="10" t="str">
        <x:v>321</x:v>
      </x:c>
      <x:c r="K47" s="10" t="str">
        <x:v>480</x:v>
      </x:c>
      <x:c r="L47" s="10" t="str">
        <x:v>Met</x:v>
      </x:c>
      <x:c r="M47" s="10" t="str">
        <x:v>Resolved</x:v>
      </x:c>
      <x:c r="N47" s="10" t="str">
        <x:v>NS-WS-146</x:v>
      </x:c>
    </x:row>
    <x:row r="48">
      <x:c r="A48" s="10" t="str">
        <x:v>INC-2026-047</x:v>
      </x:c>
      <x:c r="B48" s="10" t="str">
        <x:v>INC</x:v>
      </x:c>
      <x:c r="C48" s="10" t="str">
        <x:v>Print jobs stuck in queue</x:v>
      </x:c>
      <x:c r="D48" s="10" t="str">
        <x:v>Printing</x:v>
      </x:c>
      <x:c r="E48" s="10" t="str">
        <x:v>P3</x:v>
      </x:c>
      <x:c r="F48" s="10" t="str">
        <x:v>Grace Kim</x:v>
      </x:c>
      <x:c r="G48" s="10" t="str">
        <x:v>Alex Thompson</x:v>
      </x:c>
      <x:c r="H48" s="10" t="str">
        <x:v>2026-01-20 14:29</x:v>
      </x:c>
      <x:c r="I48" s="10" t="str">
        <x:v>2026-01-20 21:12</x:v>
      </x:c>
      <x:c r="J48" s="10" t="str">
        <x:v>403</x:v>
      </x:c>
      <x:c r="K48" s="10" t="str">
        <x:v>480</x:v>
      </x:c>
      <x:c r="L48" s="10" t="str">
        <x:v>Met</x:v>
      </x:c>
      <x:c r="M48" s="10" t="str">
        <x:v>Resolved</x:v>
      </x:c>
      <x:c r="N48" s="10" t="str">
        <x:v>NS-WS-147</x:v>
      </x:c>
    </x:row>
    <x:row r="49">
      <x:c r="A49" s="10" t="str">
        <x:v>INC-2026-048</x:v>
      </x:c>
      <x:c r="B49" s="10" t="str">
        <x:v>INC</x:v>
      </x:c>
      <x:c r="C49" s="10" t="str">
        <x:v>Department printer offline</x:v>
      </x:c>
      <x:c r="D49" s="10" t="str">
        <x:v>Printing</x:v>
      </x:c>
      <x:c r="E49" s="10" t="str">
        <x:v>P3</x:v>
      </x:c>
      <x:c r="F49" s="10" t="str">
        <x:v>Henry Patel</x:v>
      </x:c>
      <x:c r="G49" s="10" t="str">
        <x:v>Jamie Christian II</x:v>
      </x:c>
      <x:c r="H49" s="10" t="str">
        <x:v>2026-01-20 08:36</x:v>
      </x:c>
      <x:c r="I49" s="10" t="str">
        <x:v>2026-01-20 12:40</x:v>
      </x:c>
      <x:c r="J49" s="10" t="str">
        <x:v>244</x:v>
      </x:c>
      <x:c r="K49" s="10" t="str">
        <x:v>480</x:v>
      </x:c>
      <x:c r="L49" s="10" t="str">
        <x:v>Met</x:v>
      </x:c>
      <x:c r="M49" s="10" t="str">
        <x:v>Resolved</x:v>
      </x:c>
      <x:c r="N49" s="10" t="str">
        <x:v>NS-WS-148</x:v>
      </x:c>
    </x:row>
    <x:row r="50">
      <x:c r="A50" s="10" t="str">
        <x:v>INC-2026-049</x:v>
      </x:c>
      <x:c r="B50" s="10" t="str">
        <x:v>INC</x:v>
      </x:c>
      <x:c r="C50" s="10" t="str">
        <x:v>Windows workstation running slowly</x:v>
      </x:c>
      <x:c r="D50" s="10" t="str">
        <x:v>Endpoint</x:v>
      </x:c>
      <x:c r="E50" s="10" t="str">
        <x:v>P3</x:v>
      </x:c>
      <x:c r="F50" s="10" t="str">
        <x:v>Isabella Ward</x:v>
      </x:c>
      <x:c r="G50" s="10" t="str">
        <x:v>Morgan Reyes</x:v>
      </x:c>
      <x:c r="H50" s="10" t="str">
        <x:v>2026-01-21 10:43</x:v>
      </x:c>
      <x:c r="I50" s="10" t="str">
        <x:v>2026-01-21 16:09</x:v>
      </x:c>
      <x:c r="J50" s="10" t="str">
        <x:v>326</x:v>
      </x:c>
      <x:c r="K50" s="10" t="str">
        <x:v>480</x:v>
      </x:c>
      <x:c r="L50" s="10" t="str">
        <x:v>Met</x:v>
      </x:c>
      <x:c r="M50" s="10" t="str">
        <x:v>Resolved</x:v>
      </x:c>
      <x:c r="N50" s="10" t="str">
        <x:v>NS-WS-149</x:v>
      </x:c>
    </x:row>
    <x:row r="51">
      <x:c r="A51" s="10" t="str">
        <x:v>INC-2026-050</x:v>
      </x:c>
      <x:c r="B51" s="10" t="str">
        <x:v>INC</x:v>
      </x:c>
      <x:c r="C51" s="10" t="str">
        <x:v>Blue screen after driver update</x:v>
      </x:c>
      <x:c r="D51" s="10" t="str">
        <x:v>Endpoint</x:v>
      </x:c>
      <x:c r="E51" s="10" t="str">
        <x:v>P2</x:v>
      </x:c>
      <x:c r="F51" s="10" t="str">
        <x:v>Jordan Price</x:v>
      </x:c>
      <x:c r="G51" s="10" t="str">
        <x:v>Alex Thompson</x:v>
      </x:c>
      <x:c r="H51" s="10" t="str">
        <x:v>2026-01-21 12:50</x:v>
      </x:c>
      <x:c r="I51" s="10" t="str">
        <x:v>2026-01-21 14:14</x:v>
      </x:c>
      <x:c r="J51" s="10" t="str">
        <x:v>84</x:v>
      </x:c>
      <x:c r="K51" s="10" t="str">
        <x:v>240</x:v>
      </x:c>
      <x:c r="L51" s="10" t="str">
        <x:v>Met</x:v>
      </x:c>
      <x:c r="M51" s="10" t="str">
        <x:v>Resolved</x:v>
      </x:c>
      <x:c r="N51" s="10" t="str">
        <x:v>NS-WS-150</x:v>
      </x:c>
    </x:row>
  </x:sheetData>
  <x:conditionalFormatting sqref="L2:L51">
    <x:cfRule type="expression" dxfId="0" priority="1">
      <x:formula>L2="Breached"</x:formula>
    </x:cfRule>
    <x:cfRule type="expression" dxfId="1" priority="2">
      <x:formula>L2="Met"</x:formula>
    </x:cfRule>
  </x:conditionalFormatting>
  <x:conditionalFormatting sqref="J2:J51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{E6ADE31F-99E3-D7FC-16EB-36F1BBCA0B6B}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bea91130eb847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6ADE31F-99E3-D7FC-16EB-36F1BBCA0B6B}">
            <x14:dataBar gradient="1">
              <x14:cfvo type="min"/>
              <x14:cfvo type="max"/>
              <x14:fillColor rgb="FF5B9BD5"/>
            </x14:dataBar>
          </x14:cfRule>
          <xm:sqref>J2:J51</xm:sqref>
        </x14:conditionalFormatting>
      </x14:conditionalFormattings>
    </x:ext>
  </x:extLst>
</x:worksheet>
</file>